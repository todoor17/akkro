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saydam\Desktop\Projeler\Gerota\Gelen teklif\1.30 Water Treatment\04.02.00.030 Water Treatments\Annex – 04 Estimation of Work and Price Table\"/>
    </mc:Choice>
  </mc:AlternateContent>
  <xr:revisionPtr revIDLastSave="0" documentId="13_ncr:1_{F8B17BAB-E39D-44E6-B0F0-376AA22B4F86}" xr6:coauthVersionLast="47" xr6:coauthVersionMax="47" xr10:uidLastSave="{00000000-0000-0000-0000-000000000000}"/>
  <bookViews>
    <workbookView xWindow="-108" yWindow="-108" windowWidth="23256" windowHeight="12456" xr2:uid="{BD3B10CC-C7C5-41B2-B093-51874B0E458D}"/>
  </bookViews>
  <sheets>
    <sheet name="Estimated Quantity" sheetId="1" r:id="rId1"/>
  </sheets>
  <definedNames>
    <definedName name="_xlnm.Print_Area" localSheetId="0">'Estimated Quantity'!$B$2:$K$44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8" i="1" l="1"/>
  <c r="K8" i="1" s="1"/>
  <c r="J9" i="1"/>
  <c r="K9" i="1" s="1"/>
  <c r="J10" i="1"/>
  <c r="K10" i="1" s="1"/>
  <c r="J11" i="1"/>
  <c r="K11" i="1" s="1"/>
  <c r="J12" i="1"/>
  <c r="K12" i="1" s="1"/>
  <c r="J13" i="1"/>
  <c r="K13" i="1" s="1"/>
  <c r="J14" i="1"/>
  <c r="K14" i="1" s="1"/>
  <c r="J7" i="1"/>
  <c r="K7" i="1" s="1"/>
  <c r="K6" i="1" l="1"/>
  <c r="K16" i="1" s="1"/>
  <c r="K18" i="1" s="1"/>
</calcChain>
</file>

<file path=xl/sharedStrings.xml><?xml version="1.0" encoding="utf-8"?>
<sst xmlns="http://schemas.openxmlformats.org/spreadsheetml/2006/main" count="74" uniqueCount="51">
  <si>
    <t xml:space="preserve"> TOTAL AMOUNT</t>
  </si>
  <si>
    <t>Unit Price</t>
  </si>
  <si>
    <t>UNIT</t>
  </si>
  <si>
    <t>CODE</t>
  </si>
  <si>
    <t>DESCRIPTION</t>
  </si>
  <si>
    <t>QTY</t>
  </si>
  <si>
    <t>Annex - 04 Bill of Quantities (BoQ) / Anexa - 04 Lista de Cantități</t>
  </si>
  <si>
    <t>TOTAL (EXC VAT)</t>
  </si>
  <si>
    <t>:</t>
  </si>
  <si>
    <t>DISCOUNT</t>
  </si>
  <si>
    <t>GRAND TOTAL (EXC VAT)</t>
  </si>
  <si>
    <t>OTHER CONDITIONS</t>
  </si>
  <si>
    <t>DELIVERY TIME of THE MATERIAL</t>
  </si>
  <si>
    <t>INSTALLATION WORKS PERIOD</t>
  </si>
  <si>
    <t>PAYMENT TERMS</t>
  </si>
  <si>
    <t>WARRANTY TYPE /AMOUNT</t>
  </si>
  <si>
    <t>EXTENSION WARRANTY / AMOUNT-PRICE</t>
  </si>
  <si>
    <t>PROPOSAL VALIDITY DATE</t>
  </si>
  <si>
    <t>TAKING SAFETY MEASURES THROUGHOUT SITE WORKS</t>
  </si>
  <si>
    <t>DESCRIPTIONS</t>
  </si>
  <si>
    <t>ADDITIONAL CONDITIONS</t>
  </si>
  <si>
    <t xml:space="preserve">  CONFIRM / STATE-CLARIFY :</t>
  </si>
  <si>
    <t>General Expenses and Profit</t>
  </si>
  <si>
    <t>Material Unit Price</t>
  </si>
  <si>
    <t>Labor Unit Price</t>
  </si>
  <si>
    <t>Total Unit Price</t>
  </si>
  <si>
    <t>1.01</t>
  </si>
  <si>
    <t>1.02</t>
  </si>
  <si>
    <t>1.03</t>
  </si>
  <si>
    <t>1.04</t>
  </si>
  <si>
    <t>1.05</t>
  </si>
  <si>
    <t>SET 1 / Water Treatment System (W12 – TDS 16)</t>
  </si>
  <si>
    <t>SET 2 / Water Treatment System (W16 – TDS 15)</t>
  </si>
  <si>
    <t>SET 3 / Water Treatment Package (W25, W24, W26, W34, W36, W37, W35 – TDS 35,36,59,60,61,63,71)</t>
  </si>
  <si>
    <t>SET 4 / Water Treatment System (TDS 41-42)</t>
  </si>
  <si>
    <t>SET 5 / Water Treatment System (TDS 37-40)</t>
  </si>
  <si>
    <t>SET 6 / Water Treatment System (TDS 38-39)</t>
  </si>
  <si>
    <t>SET 7 / Water Treatment Unit (F16 – TDS 8)</t>
  </si>
  <si>
    <t>SET 8 / Water Treatment Unit (F17 – TDS 9)</t>
  </si>
  <si>
    <t>1.06</t>
  </si>
  <si>
    <t>1.07</t>
  </si>
  <si>
    <t>1.08</t>
  </si>
  <si>
    <t>LS</t>
  </si>
  <si>
    <t>Notes : 
The installation of all equipment shall be included in the pricing.
The price shall include all piping, valves, fittings, and all ancillary materials required for a complete and fully operational installation.
Set 1 Set 4 Set 5 shall comply with Romanian legislation and shall possess a valid "Aviz Sanitar" (Sanitary Approval) issued by INSP.
All technical specifications of the equipment are provided in the F4–F5 Technical Specifications.
The schematic AutoCAD installation drawings are included in the Technical Specifications.</t>
  </si>
  <si>
    <t>Water Treatments</t>
  </si>
  <si>
    <t>Transport to site shall be included in unit price. All necessary documents related to the products shall be prepared by the Supplier and submitted to the Contractor for the handover to the Beneficiary.</t>
  </si>
  <si>
    <r>
      <t xml:space="preserve">Warranty Period – </t>
    </r>
    <r>
      <rPr>
        <b/>
        <u/>
        <sz val="12"/>
        <rFont val="Calibri"/>
        <family val="2"/>
        <charset val="162"/>
      </rPr>
      <t>Starting from the provisional acceptance date</t>
    </r>
    <r>
      <rPr>
        <sz val="12"/>
        <rFont val="Calibri"/>
        <family val="2"/>
        <charset val="162"/>
      </rPr>
      <t xml:space="preserve">, bidders are obliged to provide a minimum warranty period of </t>
    </r>
    <r>
      <rPr>
        <b/>
        <u/>
        <sz val="12"/>
        <rFont val="Calibri"/>
        <family val="2"/>
        <charset val="162"/>
      </rPr>
      <t>2 years</t>
    </r>
  </si>
  <si>
    <r>
      <t xml:space="preserve">Bidders are obliged to prepare all necessary documents in Romanian for such as material submittals-approvals. Including technical data sheets, certificates (ISO,CE etc.), user manuels, operational instructions etc. </t>
    </r>
    <r>
      <rPr>
        <b/>
        <u/>
        <sz val="12"/>
        <rFont val="Calibri"/>
        <family val="2"/>
        <charset val="162"/>
      </rPr>
      <t>(This is a must and has to be confirmed and the cost included in the offer)</t>
    </r>
  </si>
  <si>
    <t>Bidders are obliged to supply CE certified materials and equipment (None of the China Originated Brands-Manufaturers-Makers are acceptable).</t>
  </si>
  <si>
    <t>Bidders shall comply with the financial risk requirements and shall provide the bonds and bank guarantee letters required under the Contract.</t>
  </si>
  <si>
    <r>
      <t>Requested Equipments shall have a valid “</t>
    </r>
    <r>
      <rPr>
        <b/>
        <u/>
        <sz val="12"/>
        <rFont val="Calibri"/>
        <family val="2"/>
        <charset val="162"/>
      </rPr>
      <t>Aviz Sanitar</t>
    </r>
    <r>
      <rPr>
        <sz val="12"/>
        <rFont val="Calibri"/>
        <family val="2"/>
        <charset val="162"/>
      </rPr>
      <t>” certificate issued by DSP in accordance with Romanian regulations.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</si>
</sst>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0\ [$₺-41F]"/>
    <numFmt numFmtId="165" formatCode="#,##0.00\ &quot;EUR&quot;"/>
    <numFmt numFmtId="166" formatCode="#,##0.00\ &quot;RON&quot;"/>
  </numFmts>
  <fonts count="17" x14ac:knownFonts="1">
    <font>
      <sz val="11"/>
      <color theme="1"/>
      <name val="Calibri"/>
      <family val="2"/>
      <scheme val="minor"/>
    </font>
    <font>
      <sz val="11"/>
      <color theme="1"/>
      <name val="Calibri"/>
      <family val="2"/>
      <scheme val="minor"/>
    </font>
    <font>
      <b/>
      <sz val="14"/>
      <name val="Calibri"/>
      <family val="2"/>
      <scheme val="minor"/>
    </font>
    <font>
      <b/>
      <sz val="12"/>
      <name val="Calibri"/>
      <family val="2"/>
      <scheme val="minor"/>
    </font>
    <font>
      <sz val="11"/>
      <color indexed="8"/>
      <name val="Calibri"/>
      <family val="2"/>
      <charset val="162"/>
    </font>
    <font>
      <i/>
      <sz val="12"/>
      <name val="Calibri"/>
      <family val="2"/>
      <scheme val="minor"/>
    </font>
    <font>
      <sz val="12"/>
      <name val="Calibri"/>
      <family val="2"/>
      <scheme val="minor"/>
    </font>
    <font>
      <sz val="8"/>
      <name val="Calibri"/>
      <family val="2"/>
      <scheme val="minor"/>
    </font>
    <font>
      <b/>
      <sz val="16"/>
      <name val="Arial"/>
      <family val="2"/>
      <charset val="162"/>
    </font>
    <font>
      <b/>
      <sz val="18"/>
      <name val="Calibri"/>
      <family val="2"/>
      <scheme val="minor"/>
    </font>
    <font>
      <sz val="16"/>
      <color rgb="FFFF0000"/>
      <name val="Calibri"/>
      <family val="2"/>
      <scheme val="minor"/>
    </font>
    <font>
      <b/>
      <sz val="11"/>
      <color theme="1"/>
      <name val="Calibri"/>
      <family val="2"/>
      <charset val="162"/>
      <scheme val="minor"/>
    </font>
    <font>
      <b/>
      <sz val="12"/>
      <name val="Tahoma"/>
      <family val="2"/>
      <charset val="162"/>
    </font>
    <font>
      <b/>
      <sz val="14"/>
      <color theme="1"/>
      <name val="Calibri"/>
      <family val="2"/>
      <charset val="162"/>
      <scheme val="minor"/>
    </font>
    <font>
      <b/>
      <sz val="12"/>
      <name val="Calibri"/>
      <family val="2"/>
      <charset val="162"/>
      <scheme val="minor"/>
    </font>
    <font>
      <sz val="12"/>
      <name val="Calibri"/>
      <family val="2"/>
      <charset val="162"/>
    </font>
    <font>
      <b/>
      <u/>
      <sz val="12"/>
      <name val="Calibri"/>
      <family val="2"/>
      <charset val="162"/>
    </font>
  </fonts>
  <fills count="11">
    <fill>
      <patternFill patternType="none"/>
    </fill>
    <fill>
      <patternFill patternType="gray125"/>
    </fill>
    <fill>
      <patternFill patternType="solid">
        <fgColor theme="0" tint="-0.14999847407452621"/>
        <bgColor indexed="64"/>
      </patternFill>
    </fill>
    <fill>
      <patternFill patternType="solid">
        <fgColor theme="2" tint="0.79998168889431442"/>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theme="8" tint="0.59999389629810485"/>
        <bgColor indexed="64"/>
      </patternFill>
    </fill>
    <fill>
      <patternFill patternType="solid">
        <fgColor theme="2" tint="-0.249977111117893"/>
        <bgColor indexed="64"/>
      </patternFill>
    </fill>
    <fill>
      <patternFill patternType="solid">
        <fgColor theme="8" tint="0.79998168889431442"/>
        <bgColor indexed="64"/>
      </patternFill>
    </fill>
  </fills>
  <borders count="55">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diagonal/>
    </border>
    <border>
      <left style="medium">
        <color auto="1"/>
      </left>
      <right style="thin">
        <color auto="1"/>
      </right>
      <top/>
      <bottom style="double">
        <color auto="1"/>
      </bottom>
      <diagonal/>
    </border>
    <border>
      <left style="thin">
        <color auto="1"/>
      </left>
      <right style="medium">
        <color auto="1"/>
      </right>
      <top/>
      <bottom style="double">
        <color auto="1"/>
      </bottom>
      <diagonal/>
    </border>
    <border>
      <left style="medium">
        <color auto="1"/>
      </left>
      <right style="medium">
        <color auto="1"/>
      </right>
      <top/>
      <bottom style="double">
        <color auto="1"/>
      </bottom>
      <diagonal/>
    </border>
    <border>
      <left style="thin">
        <color auto="1"/>
      </left>
      <right style="medium">
        <color auto="1"/>
      </right>
      <top style="medium">
        <color auto="1"/>
      </top>
      <bottom style="medium">
        <color auto="1"/>
      </bottom>
      <diagonal/>
    </border>
    <border>
      <left style="medium">
        <color auto="1"/>
      </left>
      <right style="hair">
        <color auto="1"/>
      </right>
      <top style="medium">
        <color auto="1"/>
      </top>
      <bottom style="medium">
        <color auto="1"/>
      </bottom>
      <diagonal/>
    </border>
    <border>
      <left style="hair">
        <color auto="1"/>
      </left>
      <right style="hair">
        <color auto="1"/>
      </right>
      <top style="medium">
        <color auto="1"/>
      </top>
      <bottom style="medium">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medium">
        <color auto="1"/>
      </left>
      <right style="thin">
        <color auto="1"/>
      </right>
      <top style="medium">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hair">
        <color auto="1"/>
      </right>
      <top style="medium">
        <color auto="1"/>
      </top>
      <bottom/>
      <diagonal/>
    </border>
    <border>
      <left style="medium">
        <color auto="1"/>
      </left>
      <right style="hair">
        <color auto="1"/>
      </right>
      <top/>
      <bottom style="double">
        <color auto="1"/>
      </bottom>
      <diagonal/>
    </border>
    <border>
      <left style="hair">
        <color auto="1"/>
      </left>
      <right style="thin">
        <color auto="1"/>
      </right>
      <top style="medium">
        <color auto="1"/>
      </top>
      <bottom/>
      <diagonal/>
    </border>
    <border>
      <left style="hair">
        <color auto="1"/>
      </left>
      <right style="thin">
        <color auto="1"/>
      </right>
      <top/>
      <bottom style="double">
        <color auto="1"/>
      </bottom>
      <diagonal/>
    </border>
    <border>
      <left style="medium">
        <color auto="1"/>
      </left>
      <right/>
      <top style="double">
        <color auto="1"/>
      </top>
      <bottom style="medium">
        <color auto="1"/>
      </bottom>
      <diagonal/>
    </border>
    <border>
      <left style="thin">
        <color auto="1"/>
      </left>
      <right style="medium">
        <color auto="1"/>
      </right>
      <top style="thin">
        <color auto="1"/>
      </top>
      <bottom style="medium">
        <color indexed="64"/>
      </bottom>
      <diagonal/>
    </border>
    <border>
      <left style="thin">
        <color auto="1"/>
      </left>
      <right style="medium">
        <color auto="1"/>
      </right>
      <top style="thin">
        <color auto="1"/>
      </top>
      <bottom/>
      <diagonal/>
    </border>
    <border>
      <left style="thin">
        <color auto="1"/>
      </left>
      <right style="medium">
        <color auto="1"/>
      </right>
      <top style="double">
        <color auto="1"/>
      </top>
      <bottom style="medium">
        <color indexed="64"/>
      </bottom>
      <diagonal/>
    </border>
    <border>
      <left style="medium">
        <color auto="1"/>
      </left>
      <right/>
      <top style="thin">
        <color auto="1"/>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auto="1"/>
      </right>
      <top style="medium">
        <color indexed="64"/>
      </top>
      <bottom style="thin">
        <color indexed="64"/>
      </bottom>
      <diagonal/>
    </border>
    <border>
      <left/>
      <right/>
      <top style="medium">
        <color indexed="64"/>
      </top>
      <bottom style="thin">
        <color indexed="64"/>
      </bottom>
      <diagonal/>
    </border>
    <border>
      <left style="thin">
        <color auto="1"/>
      </left>
      <right style="medium">
        <color auto="1"/>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auto="1"/>
      </right>
      <top/>
      <bottom style="thin">
        <color auto="1"/>
      </bottom>
      <diagonal/>
    </border>
    <border>
      <left style="medium">
        <color auto="1"/>
      </left>
      <right style="medium">
        <color auto="1"/>
      </right>
      <top/>
      <bottom/>
      <diagonal/>
    </border>
  </borders>
  <cellStyleXfs count="3">
    <xf numFmtId="0" fontId="0" fillId="0" borderId="0"/>
    <xf numFmtId="43" fontId="1" fillId="0" borderId="0" applyFont="0" applyFill="0" applyBorder="0" applyAlignment="0" applyProtection="0"/>
    <xf numFmtId="0" fontId="4" fillId="0" borderId="0"/>
  </cellStyleXfs>
  <cellXfs count="99">
    <xf numFmtId="0" fontId="0" fillId="0" borderId="0" xfId="0"/>
    <xf numFmtId="4" fontId="6" fillId="4" borderId="1" xfId="0" applyNumberFormat="1" applyFont="1" applyFill="1" applyBorder="1" applyAlignment="1" applyProtection="1">
      <alignment horizontal="center" vertical="center"/>
      <protection locked="0"/>
    </xf>
    <xf numFmtId="0" fontId="3" fillId="4" borderId="1" xfId="0" applyFont="1" applyFill="1" applyBorder="1" applyAlignment="1">
      <alignment horizontal="center" vertical="center"/>
    </xf>
    <xf numFmtId="164" fontId="3" fillId="4" borderId="11" xfId="0" applyNumberFormat="1" applyFont="1" applyFill="1" applyBorder="1" applyAlignment="1" applyProtection="1">
      <alignment horizontal="center" vertical="center"/>
      <protection locked="0"/>
    </xf>
    <xf numFmtId="164" fontId="3" fillId="4" borderId="12" xfId="0" applyNumberFormat="1" applyFont="1" applyFill="1" applyBorder="1" applyAlignment="1" applyProtection="1">
      <alignment horizontal="center" vertical="center"/>
      <protection locked="0"/>
    </xf>
    <xf numFmtId="0" fontId="5" fillId="0" borderId="13" xfId="0" applyFont="1" applyBorder="1" applyAlignment="1">
      <alignment horizontal="left" vertical="center" wrapText="1" indent="1"/>
    </xf>
    <xf numFmtId="4" fontId="6" fillId="0" borderId="14" xfId="0" applyNumberFormat="1" applyFont="1" applyBorder="1" applyAlignment="1" applyProtection="1">
      <alignment horizontal="center" vertical="center"/>
      <protection locked="0"/>
    </xf>
    <xf numFmtId="4" fontId="3" fillId="0" borderId="14" xfId="0" applyNumberFormat="1" applyFont="1" applyBorder="1" applyAlignment="1">
      <alignment horizontal="center" vertical="center"/>
    </xf>
    <xf numFmtId="164" fontId="3" fillId="4" borderId="10" xfId="0" applyNumberFormat="1" applyFont="1" applyFill="1" applyBorder="1" applyAlignment="1">
      <alignment horizontal="center" vertical="center"/>
    </xf>
    <xf numFmtId="0" fontId="3" fillId="4" borderId="28" xfId="0" applyFont="1" applyFill="1" applyBorder="1" applyAlignment="1">
      <alignment vertical="center" wrapText="1"/>
    </xf>
    <xf numFmtId="0" fontId="0" fillId="0" borderId="0" xfId="0" applyAlignment="1">
      <alignment horizontal="center"/>
    </xf>
    <xf numFmtId="0" fontId="10" fillId="6" borderId="30" xfId="0" applyFont="1" applyFill="1" applyBorder="1" applyAlignment="1">
      <alignment horizontal="right"/>
    </xf>
    <xf numFmtId="0" fontId="12" fillId="6" borderId="31" xfId="0" applyFont="1" applyFill="1" applyBorder="1" applyAlignment="1">
      <alignment vertical="center" wrapText="1"/>
    </xf>
    <xf numFmtId="0" fontId="12" fillId="6" borderId="31" xfId="0" applyFont="1" applyFill="1" applyBorder="1" applyAlignment="1">
      <alignment horizontal="center" vertical="center" wrapText="1"/>
    </xf>
    <xf numFmtId="0" fontId="0" fillId="6" borderId="31" xfId="0" applyFill="1" applyBorder="1"/>
    <xf numFmtId="0" fontId="0" fillId="6" borderId="43" xfId="0" applyFill="1" applyBorder="1"/>
    <xf numFmtId="0" fontId="10" fillId="0" borderId="35" xfId="0" applyFont="1" applyBorder="1" applyAlignment="1">
      <alignment horizontal="right"/>
    </xf>
    <xf numFmtId="0" fontId="12" fillId="7" borderId="44" xfId="0" applyFont="1" applyFill="1" applyBorder="1" applyAlignment="1">
      <alignment horizontal="right" vertical="center" wrapText="1"/>
    </xf>
    <xf numFmtId="0" fontId="12" fillId="7" borderId="36" xfId="0" applyFont="1" applyFill="1" applyBorder="1" applyAlignment="1">
      <alignment horizontal="center" vertical="center"/>
    </xf>
    <xf numFmtId="0" fontId="0" fillId="0" borderId="36" xfId="0" applyBorder="1"/>
    <xf numFmtId="0" fontId="0" fillId="0" borderId="45" xfId="0" applyBorder="1"/>
    <xf numFmtId="0" fontId="0" fillId="6" borderId="40" xfId="0" applyFill="1" applyBorder="1"/>
    <xf numFmtId="0" fontId="12" fillId="6" borderId="46" xfId="0" applyFont="1" applyFill="1" applyBorder="1" applyAlignment="1">
      <alignment horizontal="right" vertical="center" wrapText="1"/>
    </xf>
    <xf numFmtId="0" fontId="12" fillId="6" borderId="41" xfId="0" applyFont="1" applyFill="1" applyBorder="1" applyAlignment="1">
      <alignment horizontal="center" vertical="center"/>
    </xf>
    <xf numFmtId="0" fontId="0" fillId="6" borderId="41" xfId="0" applyFill="1" applyBorder="1"/>
    <xf numFmtId="0" fontId="0" fillId="6" borderId="47" xfId="0" applyFill="1" applyBorder="1"/>
    <xf numFmtId="0" fontId="12" fillId="6" borderId="48" xfId="0" applyFont="1" applyFill="1" applyBorder="1" applyAlignment="1">
      <alignment vertical="center" wrapText="1"/>
    </xf>
    <xf numFmtId="0" fontId="0" fillId="0" borderId="35" xfId="0" applyBorder="1"/>
    <xf numFmtId="0" fontId="0" fillId="0" borderId="38" xfId="0" applyBorder="1"/>
    <xf numFmtId="0" fontId="12" fillId="7" borderId="49" xfId="0" applyFont="1" applyFill="1" applyBorder="1" applyAlignment="1">
      <alignment horizontal="right" vertical="center" wrapText="1"/>
    </xf>
    <xf numFmtId="0" fontId="12" fillId="7" borderId="39" xfId="0" applyFont="1" applyFill="1" applyBorder="1" applyAlignment="1">
      <alignment horizontal="center" vertical="center"/>
    </xf>
    <xf numFmtId="0" fontId="0" fillId="0" borderId="39" xfId="0" applyBorder="1"/>
    <xf numFmtId="0" fontId="12" fillId="6" borderId="33" xfId="0" applyFont="1" applyFill="1" applyBorder="1" applyAlignment="1">
      <alignment vertical="center" wrapText="1"/>
    </xf>
    <xf numFmtId="0" fontId="12" fillId="6" borderId="33" xfId="0" applyFont="1" applyFill="1" applyBorder="1" applyAlignment="1">
      <alignment horizontal="center" vertical="center" wrapText="1"/>
    </xf>
    <xf numFmtId="0" fontId="0" fillId="6" borderId="33" xfId="0" applyFill="1" applyBorder="1"/>
    <xf numFmtId="0" fontId="12" fillId="0" borderId="52" xfId="0" applyFont="1" applyBorder="1" applyAlignment="1">
      <alignment horizontal="center" vertical="center" wrapText="1"/>
    </xf>
    <xf numFmtId="0" fontId="11" fillId="0" borderId="0" xfId="0" applyFont="1"/>
    <xf numFmtId="0" fontId="12" fillId="7" borderId="41" xfId="0" applyFont="1" applyFill="1" applyBorder="1" applyAlignment="1">
      <alignment horizontal="center" vertical="center"/>
    </xf>
    <xf numFmtId="0" fontId="0" fillId="0" borderId="41" xfId="0" applyBorder="1"/>
    <xf numFmtId="0" fontId="0" fillId="0" borderId="44" xfId="0" applyBorder="1" applyAlignment="1">
      <alignment horizontal="center"/>
    </xf>
    <xf numFmtId="0" fontId="0" fillId="0" borderId="46" xfId="0" applyBorder="1" applyAlignment="1">
      <alignment horizontal="center"/>
    </xf>
    <xf numFmtId="0" fontId="0" fillId="6" borderId="2" xfId="0" applyFill="1" applyBorder="1" applyAlignment="1">
      <alignment horizontal="center"/>
    </xf>
    <xf numFmtId="165" fontId="6" fillId="0" borderId="14" xfId="1" applyNumberFormat="1" applyFont="1" applyBorder="1" applyAlignment="1">
      <alignment horizontal="center"/>
    </xf>
    <xf numFmtId="0" fontId="0" fillId="6" borderId="34" xfId="0" applyFill="1" applyBorder="1" applyAlignment="1">
      <alignment horizontal="center"/>
    </xf>
    <xf numFmtId="0" fontId="0" fillId="0" borderId="13" xfId="0" applyBorder="1" applyAlignment="1">
      <alignment horizontal="center"/>
    </xf>
    <xf numFmtId="0" fontId="0" fillId="0" borderId="27" xfId="0" applyBorder="1" applyAlignment="1">
      <alignment horizontal="center"/>
    </xf>
    <xf numFmtId="0" fontId="0" fillId="6" borderId="32" xfId="0" applyFill="1" applyBorder="1" applyAlignment="1">
      <alignment horizontal="center"/>
    </xf>
    <xf numFmtId="0" fontId="13" fillId="0" borderId="53" xfId="0" applyFont="1" applyBorder="1" applyAlignment="1">
      <alignment horizontal="center" vertical="center"/>
    </xf>
    <xf numFmtId="0" fontId="0" fillId="0" borderId="26" xfId="0" applyBorder="1" applyAlignment="1">
      <alignment horizontal="center"/>
    </xf>
    <xf numFmtId="0" fontId="3" fillId="4" borderId="25" xfId="0" applyFont="1" applyFill="1" applyBorder="1" applyAlignment="1">
      <alignment horizontal="center" vertical="center" wrapText="1"/>
    </xf>
    <xf numFmtId="0" fontId="5" fillId="0" borderId="29" xfId="0" quotePrefix="1" applyFont="1" applyBorder="1" applyAlignment="1">
      <alignment horizontal="center" vertical="center"/>
    </xf>
    <xf numFmtId="166" fontId="6" fillId="5" borderId="15" xfId="0" applyNumberFormat="1" applyFont="1" applyFill="1" applyBorder="1" applyAlignment="1" applyProtection="1">
      <alignment horizontal="center" vertical="center"/>
      <protection locked="0"/>
    </xf>
    <xf numFmtId="166" fontId="6" fillId="5" borderId="16" xfId="0" applyNumberFormat="1" applyFont="1" applyFill="1" applyBorder="1" applyAlignment="1" applyProtection="1">
      <alignment horizontal="center" vertical="center"/>
      <protection locked="0"/>
    </xf>
    <xf numFmtId="166" fontId="3" fillId="0" borderId="13" xfId="0" applyNumberFormat="1" applyFont="1" applyBorder="1" applyAlignment="1" applyProtection="1">
      <alignment horizontal="right" vertical="center"/>
      <protection locked="0"/>
    </xf>
    <xf numFmtId="166" fontId="6" fillId="0" borderId="14" xfId="1" applyNumberFormat="1" applyFont="1" applyFill="1" applyBorder="1" applyAlignment="1">
      <alignment horizontal="center" vertical="center"/>
    </xf>
    <xf numFmtId="166" fontId="3" fillId="4" borderId="1" xfId="1" applyNumberFormat="1" applyFont="1" applyFill="1" applyBorder="1" applyAlignment="1">
      <alignment horizontal="center" vertical="center"/>
    </xf>
    <xf numFmtId="166" fontId="6" fillId="0" borderId="14" xfId="1" applyNumberFormat="1" applyFont="1" applyBorder="1" applyAlignment="1">
      <alignment horizontal="center"/>
    </xf>
    <xf numFmtId="166" fontId="14" fillId="9" borderId="14" xfId="1" applyNumberFormat="1" applyFont="1" applyFill="1" applyBorder="1" applyAlignment="1">
      <alignment horizontal="center"/>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3" fillId="2" borderId="17" xfId="2" applyFont="1" applyFill="1" applyBorder="1" applyAlignment="1">
      <alignment horizontal="center" vertical="center" wrapText="1"/>
    </xf>
    <xf numFmtId="0" fontId="3" fillId="2" borderId="7" xfId="2" applyFont="1" applyFill="1" applyBorder="1" applyAlignment="1">
      <alignment horizontal="center" vertical="center" wrapText="1"/>
    </xf>
    <xf numFmtId="0" fontId="3" fillId="2" borderId="6" xfId="2" applyFont="1" applyFill="1" applyBorder="1" applyAlignment="1">
      <alignment horizontal="center" vertical="center" wrapText="1"/>
    </xf>
    <xf numFmtId="0" fontId="3" fillId="2" borderId="8" xfId="2" applyFont="1" applyFill="1" applyBorder="1" applyAlignment="1">
      <alignment horizontal="center" vertical="center" wrapText="1"/>
    </xf>
    <xf numFmtId="0" fontId="9" fillId="2" borderId="18" xfId="0" applyFont="1" applyFill="1" applyBorder="1" applyAlignment="1">
      <alignment horizontal="center" vertical="center"/>
    </xf>
    <xf numFmtId="0" fontId="9" fillId="2" borderId="19" xfId="0" applyFont="1" applyFill="1" applyBorder="1" applyAlignment="1">
      <alignment horizontal="center" vertical="center"/>
    </xf>
    <xf numFmtId="0" fontId="9" fillId="2" borderId="20" xfId="0" applyFont="1" applyFill="1" applyBorder="1" applyAlignment="1">
      <alignment horizontal="center" vertical="center"/>
    </xf>
    <xf numFmtId="0" fontId="3" fillId="2" borderId="2"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0" borderId="21"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4" xfId="0" applyFont="1" applyBorder="1" applyAlignment="1">
      <alignment horizontal="center" vertical="center" wrapText="1"/>
    </xf>
    <xf numFmtId="0" fontId="2" fillId="2" borderId="2"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8" xfId="0" applyFont="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54"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12" fillId="6" borderId="42" xfId="0" applyFont="1" applyFill="1" applyBorder="1" applyAlignment="1">
      <alignment horizontal="left" vertical="center" wrapText="1"/>
    </xf>
    <xf numFmtId="0" fontId="12" fillId="6" borderId="48" xfId="0" applyFont="1" applyFill="1" applyBorder="1" applyAlignment="1">
      <alignment horizontal="left" vertical="center" wrapText="1"/>
    </xf>
    <xf numFmtId="0" fontId="12" fillId="6" borderId="33" xfId="0" applyFont="1" applyFill="1" applyBorder="1" applyAlignment="1">
      <alignment horizontal="left" vertical="center" wrapText="1"/>
    </xf>
    <xf numFmtId="0" fontId="12" fillId="0" borderId="50" xfId="0" applyFont="1" applyBorder="1" applyAlignment="1">
      <alignment horizontal="center" vertical="center" wrapText="1"/>
    </xf>
    <xf numFmtId="0" fontId="12" fillId="0" borderId="51" xfId="0" applyFont="1" applyBorder="1" applyAlignment="1">
      <alignment horizontal="center" vertical="center" wrapText="1"/>
    </xf>
    <xf numFmtId="0" fontId="12" fillId="0" borderId="52" xfId="0" applyFont="1" applyBorder="1" applyAlignment="1">
      <alignment horizontal="center" vertical="center" wrapText="1"/>
    </xf>
    <xf numFmtId="0" fontId="13" fillId="8" borderId="45" xfId="0" applyFont="1" applyFill="1" applyBorder="1" applyAlignment="1">
      <alignment horizontal="center" vertical="center"/>
    </xf>
    <xf numFmtId="0" fontId="13" fillId="8" borderId="44" xfId="0" applyFont="1" applyFill="1" applyBorder="1" applyAlignment="1">
      <alignment horizontal="center" vertical="center"/>
    </xf>
    <xf numFmtId="0" fontId="0" fillId="0" borderId="37" xfId="0" applyBorder="1" applyAlignment="1">
      <alignment horizontal="center"/>
    </xf>
    <xf numFmtId="0" fontId="0" fillId="0" borderId="44" xfId="0" applyBorder="1" applyAlignment="1">
      <alignment horizontal="center"/>
    </xf>
    <xf numFmtId="0" fontId="15" fillId="10" borderId="29" xfId="0" applyFont="1" applyFill="1" applyBorder="1" applyAlignment="1">
      <alignment horizontal="left" vertical="center" wrapText="1"/>
    </xf>
    <xf numFmtId="0" fontId="15" fillId="10" borderId="37" xfId="0" applyFont="1" applyFill="1" applyBorder="1" applyAlignment="1">
      <alignment horizontal="left" vertical="center" wrapText="1"/>
    </xf>
    <xf numFmtId="0" fontId="15" fillId="10" borderId="44" xfId="0" applyFont="1" applyFill="1" applyBorder="1" applyAlignment="1">
      <alignment horizontal="left" vertical="center" wrapText="1"/>
    </xf>
    <xf numFmtId="0" fontId="0" fillId="0" borderId="46" xfId="0" applyBorder="1" applyAlignment="1">
      <alignment horizontal="center"/>
    </xf>
    <xf numFmtId="0" fontId="0" fillId="0" borderId="47" xfId="0" applyBorder="1" applyAlignment="1">
      <alignment horizontal="center"/>
    </xf>
  </cellXfs>
  <cellStyles count="3">
    <cellStyle name="Normal" xfId="0" builtinId="0"/>
    <cellStyle name="Normal 2 4" xfId="2" xr:uid="{148ECDAC-4418-4048-BD46-D2BBDBDD47EE}"/>
    <cellStyle name="Virgül" xfId="1" builtinId="3"/>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6D408-A2B0-42A5-8E26-E89CB3049F6F}">
  <sheetPr>
    <tabColor rgb="FFFFFF00"/>
  </sheetPr>
  <dimension ref="A1:K37"/>
  <sheetViews>
    <sheetView tabSelected="1" view="pageBreakPreview" zoomScale="70" zoomScaleNormal="70" zoomScaleSheetLayoutView="70" workbookViewId="0">
      <selection activeCell="Q35" sqref="Q35"/>
    </sheetView>
  </sheetViews>
  <sheetFormatPr defaultRowHeight="14.4" x14ac:dyDescent="0.3"/>
  <cols>
    <col min="1" max="1" width="3.33203125" customWidth="1"/>
    <col min="2" max="2" width="14.88671875" customWidth="1"/>
    <col min="3" max="3" width="62.6640625" customWidth="1"/>
    <col min="4" max="4" width="6.44140625" customWidth="1"/>
    <col min="5" max="5" width="10.5546875" customWidth="1"/>
    <col min="6" max="6" width="1" customWidth="1"/>
    <col min="7" max="8" width="17.109375" customWidth="1"/>
    <col min="9" max="9" width="21.33203125" customWidth="1"/>
    <col min="10" max="10" width="13.6640625" customWidth="1"/>
    <col min="11" max="11" width="29.5546875" style="10" customWidth="1"/>
    <col min="12" max="12" width="4" customWidth="1"/>
  </cols>
  <sheetData>
    <row r="1" spans="2:11" ht="15" thickBot="1" x14ac:dyDescent="0.35"/>
    <row r="2" spans="2:11" ht="28.95" customHeight="1" thickBot="1" x14ac:dyDescent="0.35">
      <c r="B2" s="58" t="s">
        <v>6</v>
      </c>
      <c r="C2" s="59"/>
      <c r="D2" s="59"/>
      <c r="E2" s="59"/>
      <c r="F2" s="59"/>
      <c r="G2" s="59"/>
      <c r="H2" s="59"/>
      <c r="I2" s="59"/>
      <c r="J2" s="59"/>
      <c r="K2" s="60"/>
    </row>
    <row r="3" spans="2:11" ht="18.600000000000001" customHeight="1" thickBot="1" x14ac:dyDescent="0.35">
      <c r="B3" s="65"/>
      <c r="C3" s="66"/>
      <c r="D3" s="66"/>
      <c r="E3" s="67"/>
      <c r="G3" s="78" t="s">
        <v>1</v>
      </c>
      <c r="H3" s="79"/>
      <c r="I3" s="79"/>
      <c r="J3" s="80"/>
      <c r="K3" s="81" t="s">
        <v>0</v>
      </c>
    </row>
    <row r="4" spans="2:11" ht="17.399999999999999" customHeight="1" x14ac:dyDescent="0.3">
      <c r="B4" s="61" t="s">
        <v>3</v>
      </c>
      <c r="C4" s="63" t="s">
        <v>4</v>
      </c>
      <c r="D4" s="68" t="s">
        <v>2</v>
      </c>
      <c r="E4" s="74" t="s">
        <v>5</v>
      </c>
      <c r="G4" s="70" t="s">
        <v>23</v>
      </c>
      <c r="H4" s="72" t="s">
        <v>24</v>
      </c>
      <c r="I4" s="72" t="s">
        <v>22</v>
      </c>
      <c r="J4" s="76" t="s">
        <v>25</v>
      </c>
      <c r="K4" s="82"/>
    </row>
    <row r="5" spans="2:11" ht="19.2" customHeight="1" thickBot="1" x14ac:dyDescent="0.35">
      <c r="B5" s="62"/>
      <c r="C5" s="64"/>
      <c r="D5" s="69"/>
      <c r="E5" s="75"/>
      <c r="G5" s="71"/>
      <c r="H5" s="73"/>
      <c r="I5" s="73"/>
      <c r="J5" s="77"/>
      <c r="K5" s="83"/>
    </row>
    <row r="6" spans="2:11" ht="19.2" customHeight="1" thickTop="1" thickBot="1" x14ac:dyDescent="0.35">
      <c r="B6" s="49">
        <v>1</v>
      </c>
      <c r="C6" s="9" t="s">
        <v>44</v>
      </c>
      <c r="D6" s="1"/>
      <c r="E6" s="2"/>
      <c r="G6" s="3"/>
      <c r="H6" s="4"/>
      <c r="I6" s="4"/>
      <c r="J6" s="8"/>
      <c r="K6" s="55">
        <f>+SUBTOTAL(9,K7:K14)</f>
        <v>0</v>
      </c>
    </row>
    <row r="7" spans="2:11" ht="15.6" x14ac:dyDescent="0.3">
      <c r="B7" s="50" t="s">
        <v>26</v>
      </c>
      <c r="C7" s="5" t="s">
        <v>31</v>
      </c>
      <c r="D7" s="6" t="s">
        <v>42</v>
      </c>
      <c r="E7" s="7">
        <v>1</v>
      </c>
      <c r="G7" s="51"/>
      <c r="H7" s="52"/>
      <c r="I7" s="52"/>
      <c r="J7" s="53">
        <f t="shared" ref="J7:J14" si="0">+SUM(G7:I7)</f>
        <v>0</v>
      </c>
      <c r="K7" s="54">
        <f t="shared" ref="K7:K14" si="1">+$E7*J7</f>
        <v>0</v>
      </c>
    </row>
    <row r="8" spans="2:11" ht="15.6" x14ac:dyDescent="0.3">
      <c r="B8" s="50" t="s">
        <v>27</v>
      </c>
      <c r="C8" s="5" t="s">
        <v>32</v>
      </c>
      <c r="D8" s="6" t="s">
        <v>42</v>
      </c>
      <c r="E8" s="7">
        <v>1</v>
      </c>
      <c r="G8" s="51"/>
      <c r="H8" s="52"/>
      <c r="I8" s="52"/>
      <c r="J8" s="53">
        <f t="shared" si="0"/>
        <v>0</v>
      </c>
      <c r="K8" s="54">
        <f t="shared" si="1"/>
        <v>0</v>
      </c>
    </row>
    <row r="9" spans="2:11" ht="31.2" x14ac:dyDescent="0.3">
      <c r="B9" s="50" t="s">
        <v>28</v>
      </c>
      <c r="C9" s="5" t="s">
        <v>33</v>
      </c>
      <c r="D9" s="6" t="s">
        <v>42</v>
      </c>
      <c r="E9" s="7">
        <v>1</v>
      </c>
      <c r="G9" s="51"/>
      <c r="H9" s="52"/>
      <c r="I9" s="52"/>
      <c r="J9" s="53">
        <f t="shared" si="0"/>
        <v>0</v>
      </c>
      <c r="K9" s="54">
        <f t="shared" si="1"/>
        <v>0</v>
      </c>
    </row>
    <row r="10" spans="2:11" ht="15.6" x14ac:dyDescent="0.3">
      <c r="B10" s="50" t="s">
        <v>29</v>
      </c>
      <c r="C10" s="5" t="s">
        <v>34</v>
      </c>
      <c r="D10" s="6" t="s">
        <v>42</v>
      </c>
      <c r="E10" s="7">
        <v>1</v>
      </c>
      <c r="G10" s="51"/>
      <c r="H10" s="52"/>
      <c r="I10" s="52"/>
      <c r="J10" s="53">
        <f t="shared" si="0"/>
        <v>0</v>
      </c>
      <c r="K10" s="54">
        <f t="shared" si="1"/>
        <v>0</v>
      </c>
    </row>
    <row r="11" spans="2:11" ht="15.6" x14ac:dyDescent="0.3">
      <c r="B11" s="50" t="s">
        <v>30</v>
      </c>
      <c r="C11" s="5" t="s">
        <v>35</v>
      </c>
      <c r="D11" s="6" t="s">
        <v>42</v>
      </c>
      <c r="E11" s="7">
        <v>1</v>
      </c>
      <c r="G11" s="51"/>
      <c r="H11" s="52"/>
      <c r="I11" s="52"/>
      <c r="J11" s="53">
        <f t="shared" si="0"/>
        <v>0</v>
      </c>
      <c r="K11" s="54">
        <f t="shared" si="1"/>
        <v>0</v>
      </c>
    </row>
    <row r="12" spans="2:11" ht="15.6" x14ac:dyDescent="0.3">
      <c r="B12" s="50" t="s">
        <v>39</v>
      </c>
      <c r="C12" s="5" t="s">
        <v>36</v>
      </c>
      <c r="D12" s="6" t="s">
        <v>42</v>
      </c>
      <c r="E12" s="7">
        <v>1</v>
      </c>
      <c r="G12" s="51"/>
      <c r="H12" s="52"/>
      <c r="I12" s="52"/>
      <c r="J12" s="53">
        <f t="shared" si="0"/>
        <v>0</v>
      </c>
      <c r="K12" s="54">
        <f t="shared" si="1"/>
        <v>0</v>
      </c>
    </row>
    <row r="13" spans="2:11" ht="15.6" x14ac:dyDescent="0.3">
      <c r="B13" s="50" t="s">
        <v>40</v>
      </c>
      <c r="C13" s="5" t="s">
        <v>37</v>
      </c>
      <c r="D13" s="6" t="s">
        <v>42</v>
      </c>
      <c r="E13" s="7">
        <v>1</v>
      </c>
      <c r="G13" s="51"/>
      <c r="H13" s="52"/>
      <c r="I13" s="52"/>
      <c r="J13" s="53">
        <f t="shared" si="0"/>
        <v>0</v>
      </c>
      <c r="K13" s="54">
        <f t="shared" si="1"/>
        <v>0</v>
      </c>
    </row>
    <row r="14" spans="2:11" ht="16.2" thickBot="1" x14ac:dyDescent="0.35">
      <c r="B14" s="50" t="s">
        <v>41</v>
      </c>
      <c r="C14" s="5" t="s">
        <v>38</v>
      </c>
      <c r="D14" s="6" t="s">
        <v>42</v>
      </c>
      <c r="E14" s="7">
        <v>1</v>
      </c>
      <c r="G14" s="51"/>
      <c r="H14" s="52"/>
      <c r="I14" s="52"/>
      <c r="J14" s="53">
        <f t="shared" si="0"/>
        <v>0</v>
      </c>
      <c r="K14" s="54">
        <f t="shared" si="1"/>
        <v>0</v>
      </c>
    </row>
    <row r="15" spans="2:11" ht="20.399999999999999" customHeight="1" x14ac:dyDescent="0.4">
      <c r="B15" s="11"/>
      <c r="C15" s="11"/>
      <c r="D15" s="12"/>
      <c r="E15" s="13"/>
      <c r="F15" s="14"/>
      <c r="G15" s="14"/>
      <c r="H15" s="14"/>
      <c r="I15" s="14"/>
      <c r="J15" s="15"/>
      <c r="K15" s="41"/>
    </row>
    <row r="16" spans="2:11" ht="20.399999999999999" customHeight="1" x14ac:dyDescent="0.4">
      <c r="B16" s="16"/>
      <c r="C16" s="17" t="s">
        <v>7</v>
      </c>
      <c r="D16" s="19"/>
      <c r="E16" s="18" t="s">
        <v>8</v>
      </c>
      <c r="F16" s="19"/>
      <c r="G16" s="19"/>
      <c r="H16" s="19"/>
      <c r="I16" s="19"/>
      <c r="J16" s="20"/>
      <c r="K16" s="56">
        <f>+K6</f>
        <v>0</v>
      </c>
    </row>
    <row r="17" spans="1:11" ht="20.399999999999999" customHeight="1" x14ac:dyDescent="0.4">
      <c r="B17" s="16"/>
      <c r="C17" s="17" t="s">
        <v>9</v>
      </c>
      <c r="E17" s="18" t="s">
        <v>8</v>
      </c>
      <c r="F17" s="19"/>
      <c r="G17" s="19"/>
      <c r="H17" s="19"/>
      <c r="I17" s="19"/>
      <c r="J17" s="20"/>
      <c r="K17" s="42"/>
    </row>
    <row r="18" spans="1:11" ht="20.399999999999999" customHeight="1" thickBot="1" x14ac:dyDescent="0.35">
      <c r="B18" s="21"/>
      <c r="C18" s="22" t="s">
        <v>10</v>
      </c>
      <c r="D18" s="23"/>
      <c r="E18" s="23"/>
      <c r="F18" s="24"/>
      <c r="G18" s="24"/>
      <c r="H18" s="24"/>
      <c r="I18" s="24"/>
      <c r="J18" s="25"/>
      <c r="K18" s="57">
        <f>+K16-K17</f>
        <v>0</v>
      </c>
    </row>
    <row r="19" spans="1:11" ht="20.399999999999999" customHeight="1" x14ac:dyDescent="0.3">
      <c r="B19" s="84" t="s">
        <v>11</v>
      </c>
      <c r="C19" s="85"/>
      <c r="D19" s="26"/>
      <c r="E19" s="13"/>
      <c r="F19" s="14"/>
      <c r="G19" s="14"/>
      <c r="H19" s="14"/>
      <c r="I19" s="14"/>
      <c r="J19" s="14"/>
      <c r="K19" s="43"/>
    </row>
    <row r="20" spans="1:11" ht="20.399999999999999" customHeight="1" x14ac:dyDescent="0.3">
      <c r="B20" s="27"/>
      <c r="C20" s="17" t="s">
        <v>12</v>
      </c>
      <c r="D20" s="19"/>
      <c r="E20" s="18" t="s">
        <v>8</v>
      </c>
      <c r="F20" s="19"/>
      <c r="G20" s="19"/>
      <c r="H20" s="19"/>
      <c r="I20" s="19"/>
      <c r="J20" s="19"/>
      <c r="K20" s="44"/>
    </row>
    <row r="21" spans="1:11" ht="20.399999999999999" customHeight="1" x14ac:dyDescent="0.3">
      <c r="B21" s="27"/>
      <c r="C21" s="17" t="s">
        <v>13</v>
      </c>
      <c r="D21" s="19"/>
      <c r="E21" s="18" t="s">
        <v>8</v>
      </c>
      <c r="F21" s="19"/>
      <c r="G21" s="19"/>
      <c r="H21" s="19"/>
      <c r="I21" s="19"/>
      <c r="J21" s="19"/>
      <c r="K21" s="44"/>
    </row>
    <row r="22" spans="1:11" ht="20.399999999999999" customHeight="1" x14ac:dyDescent="0.3">
      <c r="B22" s="27"/>
      <c r="C22" s="17" t="s">
        <v>14</v>
      </c>
      <c r="D22" s="19"/>
      <c r="E22" s="18" t="s">
        <v>8</v>
      </c>
      <c r="F22" s="19"/>
      <c r="G22" s="19"/>
      <c r="H22" s="19"/>
      <c r="I22" s="19"/>
      <c r="J22" s="19"/>
      <c r="K22" s="44"/>
    </row>
    <row r="23" spans="1:11" ht="20.399999999999999" customHeight="1" x14ac:dyDescent="0.3">
      <c r="B23" s="27"/>
      <c r="C23" s="17" t="s">
        <v>15</v>
      </c>
      <c r="D23" s="19"/>
      <c r="E23" s="18" t="s">
        <v>8</v>
      </c>
      <c r="F23" s="19"/>
      <c r="G23" s="19"/>
      <c r="H23" s="19"/>
      <c r="I23" s="19"/>
      <c r="J23" s="19"/>
      <c r="K23" s="44"/>
    </row>
    <row r="24" spans="1:11" ht="39" customHeight="1" x14ac:dyDescent="0.3">
      <c r="B24" s="27"/>
      <c r="C24" s="17" t="s">
        <v>16</v>
      </c>
      <c r="D24" s="19"/>
      <c r="E24" s="18" t="s">
        <v>8</v>
      </c>
      <c r="F24" s="19"/>
      <c r="G24" s="19"/>
      <c r="H24" s="19"/>
      <c r="I24" s="19"/>
      <c r="J24" s="19"/>
      <c r="K24" s="44"/>
    </row>
    <row r="25" spans="1:11" ht="20.399999999999999" customHeight="1" x14ac:dyDescent="0.3">
      <c r="B25" s="27"/>
      <c r="C25" s="17" t="s">
        <v>17</v>
      </c>
      <c r="D25" s="19"/>
      <c r="E25" s="18" t="s">
        <v>8</v>
      </c>
      <c r="F25" s="19"/>
      <c r="G25" s="19"/>
      <c r="H25" s="19"/>
      <c r="I25" s="19"/>
      <c r="J25" s="19"/>
      <c r="K25" s="44"/>
    </row>
    <row r="26" spans="1:11" ht="37.200000000000003" customHeight="1" x14ac:dyDescent="0.3">
      <c r="B26" s="27"/>
      <c r="C26" s="17" t="s">
        <v>18</v>
      </c>
      <c r="D26" s="19"/>
      <c r="E26" s="18" t="s">
        <v>8</v>
      </c>
      <c r="F26" s="19"/>
      <c r="G26" s="19"/>
      <c r="H26" s="19"/>
      <c r="I26" s="19"/>
      <c r="J26" s="19"/>
      <c r="K26" s="44"/>
    </row>
    <row r="27" spans="1:11" ht="20.399999999999999" customHeight="1" thickBot="1" x14ac:dyDescent="0.35">
      <c r="B27" s="28"/>
      <c r="C27" s="29" t="s">
        <v>19</v>
      </c>
      <c r="D27" s="31"/>
      <c r="E27" s="30" t="s">
        <v>8</v>
      </c>
      <c r="F27" s="31"/>
      <c r="G27" s="31"/>
      <c r="H27" s="31"/>
      <c r="I27" s="31"/>
      <c r="J27" s="31"/>
      <c r="K27" s="45"/>
    </row>
    <row r="28" spans="1:11" ht="35.4" customHeight="1" x14ac:dyDescent="0.3">
      <c r="A28" s="36"/>
      <c r="B28" s="84" t="s">
        <v>20</v>
      </c>
      <c r="C28" s="86"/>
      <c r="D28" s="32"/>
      <c r="E28" s="33"/>
      <c r="F28" s="34"/>
      <c r="G28" s="34"/>
      <c r="H28" s="34"/>
      <c r="I28" s="34"/>
      <c r="J28" s="34"/>
      <c r="K28" s="46"/>
    </row>
    <row r="29" spans="1:11" ht="47.4" customHeight="1" x14ac:dyDescent="0.3">
      <c r="A29" s="36"/>
      <c r="B29" s="87"/>
      <c r="C29" s="88"/>
      <c r="D29" s="89"/>
      <c r="E29" s="35"/>
      <c r="G29" s="90" t="s">
        <v>21</v>
      </c>
      <c r="H29" s="91"/>
      <c r="I29" s="39"/>
      <c r="J29" s="19"/>
      <c r="K29" s="47"/>
    </row>
    <row r="30" spans="1:11" ht="268.5" customHeight="1" x14ac:dyDescent="0.3">
      <c r="A30" s="36"/>
      <c r="B30" s="94" t="s">
        <v>43</v>
      </c>
      <c r="C30" s="95"/>
      <c r="D30" s="96"/>
      <c r="E30" s="18" t="s">
        <v>8</v>
      </c>
      <c r="F30" s="20"/>
      <c r="G30" s="92"/>
      <c r="H30" s="93"/>
      <c r="I30" s="39"/>
      <c r="J30" s="19"/>
      <c r="K30" s="44"/>
    </row>
    <row r="31" spans="1:11" ht="66" customHeight="1" x14ac:dyDescent="0.3">
      <c r="A31" s="36"/>
      <c r="B31" s="94" t="s">
        <v>45</v>
      </c>
      <c r="C31" s="95"/>
      <c r="D31" s="96"/>
      <c r="E31" s="18" t="s">
        <v>8</v>
      </c>
      <c r="F31" s="20"/>
      <c r="G31" s="92"/>
      <c r="H31" s="93"/>
      <c r="I31" s="39"/>
      <c r="J31" s="19"/>
      <c r="K31" s="44"/>
    </row>
    <row r="32" spans="1:11" ht="65.400000000000006" customHeight="1" x14ac:dyDescent="0.3">
      <c r="A32" s="36"/>
      <c r="B32" s="94" t="s">
        <v>46</v>
      </c>
      <c r="C32" s="95"/>
      <c r="D32" s="96"/>
      <c r="E32" s="18" t="s">
        <v>8</v>
      </c>
      <c r="F32" s="20"/>
      <c r="G32" s="92"/>
      <c r="H32" s="93"/>
      <c r="I32" s="39"/>
      <c r="J32" s="19"/>
      <c r="K32" s="44"/>
    </row>
    <row r="33" spans="1:11" ht="45" customHeight="1" x14ac:dyDescent="0.3">
      <c r="A33" s="36"/>
      <c r="B33" s="94" t="s">
        <v>47</v>
      </c>
      <c r="C33" s="95"/>
      <c r="D33" s="96"/>
      <c r="E33" s="18" t="s">
        <v>8</v>
      </c>
      <c r="F33" s="20"/>
      <c r="G33" s="92"/>
      <c r="H33" s="93"/>
      <c r="I33" s="39"/>
      <c r="J33" s="19"/>
      <c r="K33" s="44"/>
    </row>
    <row r="34" spans="1:11" ht="60" customHeight="1" x14ac:dyDescent="0.3">
      <c r="A34" s="36"/>
      <c r="B34" s="94" t="s">
        <v>48</v>
      </c>
      <c r="C34" s="95"/>
      <c r="D34" s="96"/>
      <c r="E34" s="18" t="s">
        <v>8</v>
      </c>
      <c r="F34" s="20"/>
      <c r="G34" s="92"/>
      <c r="H34" s="93"/>
      <c r="I34" s="39"/>
      <c r="J34" s="19"/>
      <c r="K34" s="44"/>
    </row>
    <row r="35" spans="1:11" ht="49.8" customHeight="1" x14ac:dyDescent="0.3">
      <c r="A35" s="36"/>
      <c r="B35" s="94" t="s">
        <v>49</v>
      </c>
      <c r="C35" s="95"/>
      <c r="D35" s="96"/>
      <c r="E35" s="18" t="s">
        <v>8</v>
      </c>
      <c r="F35" s="20"/>
      <c r="G35" s="92"/>
      <c r="H35" s="93"/>
      <c r="I35" s="39"/>
      <c r="J35" s="19"/>
      <c r="K35" s="44"/>
    </row>
    <row r="36" spans="1:11" ht="40.200000000000003" customHeight="1" thickBot="1" x14ac:dyDescent="0.35">
      <c r="B36" s="94" t="s">
        <v>50</v>
      </c>
      <c r="C36" s="95"/>
      <c r="D36" s="96"/>
      <c r="E36" s="37" t="s">
        <v>8</v>
      </c>
      <c r="F36" s="40"/>
      <c r="G36" s="98"/>
      <c r="H36" s="97"/>
      <c r="I36" s="40"/>
      <c r="J36" s="38"/>
      <c r="K36" s="48"/>
    </row>
    <row r="37" spans="1:11" x14ac:dyDescent="0.3">
      <c r="B37" s="10"/>
    </row>
  </sheetData>
  <mergeCells count="30">
    <mergeCell ref="G33:H33"/>
    <mergeCell ref="G34:H34"/>
    <mergeCell ref="G35:H35"/>
    <mergeCell ref="B19:C19"/>
    <mergeCell ref="B28:C28"/>
    <mergeCell ref="B29:D29"/>
    <mergeCell ref="G29:H29"/>
    <mergeCell ref="B36:D36"/>
    <mergeCell ref="G30:H30"/>
    <mergeCell ref="B30:D30"/>
    <mergeCell ref="G36:H36"/>
    <mergeCell ref="B31:D31"/>
    <mergeCell ref="B32:D32"/>
    <mergeCell ref="B33:D33"/>
    <mergeCell ref="B34:D34"/>
    <mergeCell ref="B35:D35"/>
    <mergeCell ref="G31:H31"/>
    <mergeCell ref="G32:H32"/>
    <mergeCell ref="B2:K2"/>
    <mergeCell ref="B4:B5"/>
    <mergeCell ref="C4:C5"/>
    <mergeCell ref="B3:E3"/>
    <mergeCell ref="D4:D5"/>
    <mergeCell ref="G4:G5"/>
    <mergeCell ref="H4:H5"/>
    <mergeCell ref="E4:E5"/>
    <mergeCell ref="J4:J5"/>
    <mergeCell ref="G3:J3"/>
    <mergeCell ref="I4:I5"/>
    <mergeCell ref="K3:K5"/>
  </mergeCells>
  <phoneticPr fontId="7" type="noConversion"/>
  <pageMargins left="0.7" right="0.7" top="0.75" bottom="0.75" header="0.3" footer="0.3"/>
  <pageSetup paperSize="9" scale="27" orientation="portrait" r:id="rId1"/>
  <ignoredErrors>
    <ignoredError sqref="J7:K7 J8:J14" unlocked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Estimated Quantity</vt:lpstr>
      <vt:lpstr>'Estimated Quantity'!Yazdırma_Alanı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Yusuf Demirbuken</dc:creator>
  <cp:lastModifiedBy>Asım Saydam</cp:lastModifiedBy>
  <dcterms:created xsi:type="dcterms:W3CDTF">2022-02-09T10:43:03Z</dcterms:created>
  <dcterms:modified xsi:type="dcterms:W3CDTF">2026-07-13T13:45:07Z</dcterms:modified>
</cp:coreProperties>
</file>